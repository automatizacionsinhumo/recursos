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Gastos" sheetId="2" r:id="rId2"/>
    <sheet name="Entre amigos" sheetId="3" r:id="rId3"/>
    <sheet name="Transferencias" sheetId="4" r:id="rId4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40" customWidth="1"/>
    <col min="2" max="2" width="14" customWidth="1"/>
    <col min="3" max="3" width="14" customWidth="1"/>
    <col min="4" max="4" width="30" customWidth="1"/>
    <col min="5" max="5" width="30" customWidth="1"/>
    <col min="6" max="6" width="18" customWidth="1"/>
    <col min="7" max="7" width="24" customWidth="1"/>
    <col min="8" max="8" width="10" customWidth="1"/>
  </cols>
  <sheetData>
    <row r="1">
      <c r="A1" t="inlineStr" s="1">
        <is>
          <t xml:space="preserve">Ejemplo real: el viaje del vídeo con las transferencias que propuso Gemini</t>
        </is>
      </c>
    </row>
    <row r="2">
      <c r="A2" t="inlineStr">
        <is>
          <t xml:space="preserve">Cómo se usa: escribe los nombres aquí (columna A). En «Gastos», una fila por gasto: importe, quién pagó y una «x» en las personas que participan (si pagaron dos a medias, pon dos filas). Un gasto que se devuelve (una fianza) va en negativo. En «Entre amigos», el dinero que uno ya le dio a otro durante el viaje. En «Transferencias», lo que te propone la IA.</t>
        </is>
      </c>
    </row>
    <row r="3"/>
    <row r="4">
      <c r="A4" t="inlineStr" s="1">
        <is>
          <t xml:space="preserve">Persona</t>
        </is>
      </c>
      <c r="B4" t="inlineStr" s="1">
        <is>
          <t xml:space="preserve">Ha pagado</t>
        </is>
      </c>
      <c r="C4" t="inlineStr" s="1">
        <is>
          <t xml:space="preserve">Le toca</t>
        </is>
      </c>
      <c r="D4" t="inlineStr" s="1">
        <is>
          <t xml:space="preserve">Dado (−recibido) entre amigos</t>
        </is>
      </c>
      <c r="E4" t="inlineStr" s="1">
        <is>
          <t xml:space="preserve">Saldo (+ le deben / − debe)</t>
        </is>
      </c>
      <c r="F4" t="inlineStr" s="1">
        <is>
          <t xml:space="preserve">Qué le toca hacer</t>
        </is>
      </c>
      <c r="G4" t="inlineStr" s="1">
        <is>
          <t xml:space="preserve">Tras las transferencias</t>
        </is>
      </c>
      <c r="H4" t="inlineStr" s="1">
        <is>
          <t xml:space="preserve">¿En paz?</t>
        </is>
      </c>
    </row>
    <row r="5">
      <c r="A5" t="inlineStr">
        <is>
          <t xml:space="preserve">Ana</t>
        </is>
      </c>
      <c r="B5">
        <f>IF(A5="","",SUMIF('Gastos'!C$2:C$201,A5,'Gastos'!B$2:B$201))</f>
      </c>
      <c r="C5">
        <f>IF(A5="","",SUMPRODUCT(('Gastos'!D$2:D$201&lt;&gt;"")*'Gastos'!M$2:M$201))</f>
      </c>
      <c r="D5">
        <f>IF(A5="","",SUMIF('Entre amigos'!A$2:A$51,A5,'Entre amigos'!C$2:C$51)-SUMIF('Entre amigos'!B$2:B$51,A5,'Entre amigos'!C$2:C$51))</f>
      </c>
      <c r="E5">
        <f>IF(A5="","",ROUND(B5-C5+D5,2))</f>
      </c>
      <c r="F5" t="str">
        <f>IF(A5="","",IF(E5&gt;0.004,"le deben",IF(E5&lt;-0.004,"debe","en paz")))</f>
      </c>
      <c r="G5">
        <f>IF(A5="","",ROUND(E5+SUMIF('Transferencias'!A$2:A$51,A5,'Transferencias'!C$2:C$51)-SUMIF('Transferencias'!B$2:B$51,A5,'Transferencias'!C$2:C$51),2))</f>
      </c>
      <c r="H5" t="str">
        <f>IF(A5="","",IF(ABS(G5)&lt;0.005,"sí","NO"))</f>
      </c>
    </row>
    <row r="6">
      <c r="A6" t="inlineStr">
        <is>
          <t xml:space="preserve">Bruno</t>
        </is>
      </c>
      <c r="B6">
        <f>IF(A6="","",SUMIF('Gastos'!C$2:C$201,A6,'Gastos'!B$2:B$201))</f>
      </c>
      <c r="C6">
        <f>IF(A6="","",SUMPRODUCT(('Gastos'!E$2:E$201&lt;&gt;"")*'Gastos'!M$2:M$201))</f>
      </c>
      <c r="D6">
        <f>IF(A6="","",SUMIF('Entre amigos'!A$2:A$51,A6,'Entre amigos'!C$2:C$51)-SUMIF('Entre amigos'!B$2:B$51,A6,'Entre amigos'!C$2:C$51))</f>
      </c>
      <c r="E6">
        <f>IF(A6="","",ROUND(B6-C6+D6,2))</f>
      </c>
      <c r="F6" t="str">
        <f>IF(A6="","",IF(E6&gt;0.004,"le deben",IF(E6&lt;-0.004,"debe","en paz")))</f>
      </c>
      <c r="G6">
        <f>IF(A6="","",ROUND(E6+SUMIF('Transferencias'!A$2:A$51,A6,'Transferencias'!C$2:C$51)-SUMIF('Transferencias'!B$2:B$51,A6,'Transferencias'!C$2:C$51),2))</f>
      </c>
      <c r="H6" t="str">
        <f>IF(A6="","",IF(ABS(G6)&lt;0.005,"sí","NO"))</f>
      </c>
    </row>
    <row r="7">
      <c r="A7" t="inlineStr">
        <is>
          <t xml:space="preserve">Carla</t>
        </is>
      </c>
      <c r="B7">
        <f>IF(A7="","",SUMIF('Gastos'!C$2:C$201,A7,'Gastos'!B$2:B$201))</f>
      </c>
      <c r="C7">
        <f>IF(A7="","",SUMPRODUCT(('Gastos'!F$2:F$201&lt;&gt;"")*'Gastos'!M$2:M$201))</f>
      </c>
      <c r="D7">
        <f>IF(A7="","",SUMIF('Entre amigos'!A$2:A$51,A7,'Entre amigos'!C$2:C$51)-SUMIF('Entre amigos'!B$2:B$51,A7,'Entre amigos'!C$2:C$51))</f>
      </c>
      <c r="E7">
        <f>IF(A7="","",ROUND(B7-C7+D7,2))</f>
      </c>
      <c r="F7" t="str">
        <f>IF(A7="","",IF(E7&gt;0.004,"le deben",IF(E7&lt;-0.004,"debe","en paz")))</f>
      </c>
      <c r="G7">
        <f>IF(A7="","",ROUND(E7+SUMIF('Transferencias'!A$2:A$51,A7,'Transferencias'!C$2:C$51)-SUMIF('Transferencias'!B$2:B$51,A7,'Transferencias'!C$2:C$51),2))</f>
      </c>
      <c r="H7" t="str">
        <f>IF(A7="","",IF(ABS(G7)&lt;0.005,"sí","NO"))</f>
      </c>
    </row>
    <row r="8">
      <c r="A8" t="inlineStr">
        <is>
          <t xml:space="preserve">David</t>
        </is>
      </c>
      <c r="B8">
        <f>IF(A8="","",SUMIF('Gastos'!C$2:C$201,A8,'Gastos'!B$2:B$201))</f>
      </c>
      <c r="C8">
        <f>IF(A8="","",SUMPRODUCT(('Gastos'!G$2:G$201&lt;&gt;"")*'Gastos'!M$2:M$201))</f>
      </c>
      <c r="D8">
        <f>IF(A8="","",SUMIF('Entre amigos'!A$2:A$51,A8,'Entre amigos'!C$2:C$51)-SUMIF('Entre amigos'!B$2:B$51,A8,'Entre amigos'!C$2:C$51))</f>
      </c>
      <c r="E8">
        <f>IF(A8="","",ROUND(B8-C8+D8,2))</f>
      </c>
      <c r="F8" t="str">
        <f>IF(A8="","",IF(E8&gt;0.004,"le deben",IF(E8&lt;-0.004,"debe","en paz")))</f>
      </c>
      <c r="G8">
        <f>IF(A8="","",ROUND(E8+SUMIF('Transferencias'!A$2:A$51,A8,'Transferencias'!C$2:C$51)-SUMIF('Transferencias'!B$2:B$51,A8,'Transferencias'!C$2:C$51),2))</f>
      </c>
      <c r="H8" t="str">
        <f>IF(A8="","",IF(ABS(G8)&lt;0.005,"sí","NO"))</f>
      </c>
    </row>
    <row r="9">
      <c r="A9" t="inlineStr">
        <is>
          <t xml:space="preserve">Elena</t>
        </is>
      </c>
      <c r="B9">
        <f>IF(A9="","",SUMIF('Gastos'!C$2:C$201,A9,'Gastos'!B$2:B$201))</f>
      </c>
      <c r="C9">
        <f>IF(A9="","",SUMPRODUCT(('Gastos'!H$2:H$201&lt;&gt;"")*'Gastos'!M$2:M$201))</f>
      </c>
      <c r="D9">
        <f>IF(A9="","",SUMIF('Entre amigos'!A$2:A$51,A9,'Entre amigos'!C$2:C$51)-SUMIF('Entre amigos'!B$2:B$51,A9,'Entre amigos'!C$2:C$51))</f>
      </c>
      <c r="E9">
        <f>IF(A9="","",ROUND(B9-C9+D9,2))</f>
      </c>
      <c r="F9" t="str">
        <f>IF(A9="","",IF(E9&gt;0.004,"le deben",IF(E9&lt;-0.004,"debe","en paz")))</f>
      </c>
      <c r="G9">
        <f>IF(A9="","",ROUND(E9+SUMIF('Transferencias'!A$2:A$51,A9,'Transferencias'!C$2:C$51)-SUMIF('Transferencias'!B$2:B$51,A9,'Transferencias'!C$2:C$51),2))</f>
      </c>
      <c r="H9" t="str">
        <f>IF(A9="","",IF(ABS(G9)&lt;0.005,"sí","NO"))</f>
      </c>
    </row>
    <row r="10">
      <c r="B10">
        <f>IF(A10="","",SUMIF('Gastos'!C$2:C$201,A10,'Gastos'!B$2:B$201))</f>
      </c>
      <c r="C10">
        <f>IF(A10="","",SUMPRODUCT(('Gastos'!I$2:I$201&lt;&gt;"")*'Gastos'!M$2:M$201))</f>
      </c>
      <c r="D10">
        <f>IF(A10="","",SUMIF('Entre amigos'!A$2:A$51,A10,'Entre amigos'!C$2:C$51)-SUMIF('Entre amigos'!B$2:B$51,A10,'Entre amigos'!C$2:C$51))</f>
      </c>
      <c r="E10">
        <f>IF(A10="","",ROUND(B10-C10+D10,2))</f>
      </c>
      <c r="F10" t="str">
        <f>IF(A10="","",IF(E10&gt;0.004,"le deben",IF(E10&lt;-0.004,"debe","en paz")))</f>
      </c>
      <c r="G10">
        <f>IF(A10="","",ROUND(E10+SUMIF('Transferencias'!A$2:A$51,A10,'Transferencias'!C$2:C$51)-SUMIF('Transferencias'!B$2:B$51,A10,'Transferencias'!C$2:C$51),2))</f>
      </c>
      <c r="H10" t="str">
        <f>IF(A10="","",IF(ABS(G10)&lt;0.005,"sí","NO"))</f>
      </c>
    </row>
    <row r="11">
      <c r="B11">
        <f>IF(A11="","",SUMIF('Gastos'!C$2:C$201,A11,'Gastos'!B$2:B$201))</f>
      </c>
      <c r="C11">
        <f>IF(A11="","",SUMPRODUCT(('Gastos'!J$2:J$201&lt;&gt;"")*'Gastos'!M$2:M$201))</f>
      </c>
      <c r="D11">
        <f>IF(A11="","",SUMIF('Entre amigos'!A$2:A$51,A11,'Entre amigos'!C$2:C$51)-SUMIF('Entre amigos'!B$2:B$51,A11,'Entre amigos'!C$2:C$51))</f>
      </c>
      <c r="E11">
        <f>IF(A11="","",ROUND(B11-C11+D11,2))</f>
      </c>
      <c r="F11" t="str">
        <f>IF(A11="","",IF(E11&gt;0.004,"le deben",IF(E11&lt;-0.004,"debe","en paz")))</f>
      </c>
      <c r="G11">
        <f>IF(A11="","",ROUND(E11+SUMIF('Transferencias'!A$2:A$51,A11,'Transferencias'!C$2:C$51)-SUMIF('Transferencias'!B$2:B$51,A11,'Transferencias'!C$2:C$51),2))</f>
      </c>
      <c r="H11" t="str">
        <f>IF(A11="","",IF(ABS(G11)&lt;0.005,"sí","NO"))</f>
      </c>
    </row>
    <row r="12">
      <c r="B12">
        <f>IF(A12="","",SUMIF('Gastos'!C$2:C$201,A12,'Gastos'!B$2:B$201))</f>
      </c>
      <c r="C12">
        <f>IF(A12="","",SUMPRODUCT(('Gastos'!K$2:K$201&lt;&gt;"")*'Gastos'!M$2:M$201))</f>
      </c>
      <c r="D12">
        <f>IF(A12="","",SUMIF('Entre amigos'!A$2:A$51,A12,'Entre amigos'!C$2:C$51)-SUMIF('Entre amigos'!B$2:B$51,A12,'Entre amigos'!C$2:C$51))</f>
      </c>
      <c r="E12">
        <f>IF(A12="","",ROUND(B12-C12+D12,2))</f>
      </c>
      <c r="F12" t="str">
        <f>IF(A12="","",IF(E12&gt;0.004,"le deben",IF(E12&lt;-0.004,"debe","en paz")))</f>
      </c>
      <c r="G12">
        <f>IF(A12="","",ROUND(E12+SUMIF('Transferencias'!A$2:A$51,A12,'Transferencias'!C$2:C$51)-SUMIF('Transferencias'!B$2:B$51,A12,'Transferencias'!C$2:C$51),2))</f>
      </c>
      <c r="H12" t="str">
        <f>IF(A12="","",IF(ABS(G12)&lt;0.005,"sí","NO"))</f>
      </c>
    </row>
    <row r="13"/>
    <row r="14">
      <c r="A14" t="inlineStr">
        <is>
          <t xml:space="preserve">Total del viaje</t>
        </is>
      </c>
      <c r="B14">
        <f>SUM('Gastos'!B$2:B$201)</f>
      </c>
    </row>
    <row r="15">
      <c r="A15" t="inlineStr">
        <is>
          <t xml:space="preserve">Suma de saldos (tiene que dar 0)</t>
        </is>
      </c>
      <c r="B15">
        <f>ROUND(SUM(E5:E12),2)</f>
      </c>
    </row>
    <row r="16">
      <c r="A16" t="inlineStr">
        <is>
          <t xml:space="preserve">Gastos con «Pagó» que no está en la lista de personas</t>
        </is>
      </c>
      <c r="B16">
        <f>SUMPRODUCT(('Gastos'!C$2:C$201&lt;&gt;"")*(COUNTIF(A5:A12,'Gastos'!C$2:C$201)=0))</f>
      </c>
    </row>
    <row r="17">
      <c r="A17" t="inlineStr">
        <is>
          <t xml:space="preserve">Gastos sin nadie marcado</t>
        </is>
      </c>
      <c r="B17">
        <f>SUMPRODUCT(('Gastos'!B$2:B$201&lt;&gt;"")*('Gastos'!L$2:L$201=0))</f>
      </c>
    </row>
    <row r="18"/>
    <row r="19">
      <c r="A19" t="inlineStr" s="1">
        <is>
          <t xml:space="preserve">Resultado</t>
        </is>
      </c>
      <c r="B19" t="str" s="1">
        <f>IF(COUNTA('Transferencias'!A$2:A$51)=0,"Pega en «Transferencias» lo que te propone la IA",IF(AND(COUNTIF(H5:H12,"NO")=0,B15=0,B16=0),"CUADRA: con esas transferencias todos quedan en paz","NO CUADRA: mira la columna «Tras las transferencias»"))</f>
      </c>
    </row>
    <row r="20">
      <c r="A20" t="inlineStr">
        <is>
          <t xml:space="preserve">Ojo</t>
        </is>
      </c>
      <c r="B20" t="inlineStr">
        <is>
          <t xml:space="preserve">Que el total cuadre no prueba nada: un reparto mal hecho también suma el total del viaje. Lo que cuenta es que cada persona quede a cero.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11" customWidth="1"/>
    <col min="3" max="3" width="12" customWidth="1"/>
    <col min="4" max="4" width="10" customWidth="1"/>
    <col min="5" max="5" width="10" customWidth="1"/>
    <col min="6" max="6" width="10" customWidth="1"/>
    <col min="7" max="7" width="10" customWidth="1"/>
    <col min="8" max="8" width="10" customWidth="1"/>
    <col min="9" max="9" width="10" customWidth="1"/>
    <col min="10" max="10" width="10" customWidth="1"/>
    <col min="11" max="11" width="10" customWidth="1"/>
    <col min="12" max="12" width="13" customWidth="1"/>
    <col min="13" max="13" width="12" customWidth="1"/>
  </cols>
  <sheetData>
    <row r="1">
      <c r="A1" t="inlineStr" s="1">
        <is>
          <t xml:space="preserve">Concepto</t>
        </is>
      </c>
      <c r="B1" t="inlineStr" s="1">
        <is>
          <t xml:space="preserve">Importe</t>
        </is>
      </c>
      <c r="C1" t="inlineStr" s="1">
        <is>
          <t xml:space="preserve">Pagó</t>
        </is>
      </c>
      <c r="D1" t="str" s="1">
        <f>IF('Resumen'!A5="","(persona 1)",'Resumen'!A5)</f>
      </c>
      <c r="E1" t="str" s="1">
        <f>IF('Resumen'!A6="","(persona 2)",'Resumen'!A6)</f>
      </c>
      <c r="F1" t="str" s="1">
        <f>IF('Resumen'!A7="","(persona 3)",'Resumen'!A7)</f>
      </c>
      <c r="G1" t="str" s="1">
        <f>IF('Resumen'!A8="","(persona 4)",'Resumen'!A8)</f>
      </c>
      <c r="H1" t="str" s="1">
        <f>IF('Resumen'!A9="","(persona 5)",'Resumen'!A9)</f>
      </c>
      <c r="I1" t="str" s="1">
        <f>IF('Resumen'!A10="","(persona 6)",'Resumen'!A10)</f>
      </c>
      <c r="J1" t="str" s="1">
        <f>IF('Resumen'!A11="","(persona 7)",'Resumen'!A11)</f>
      </c>
      <c r="K1" t="str" s="1">
        <f>IF('Resumen'!A12="","(persona 8)",'Resumen'!A12)</f>
      </c>
      <c r="L1" t="inlineStr" s="1">
        <is>
          <t xml:space="preserve">Entre cuántos</t>
        </is>
      </c>
      <c r="M1" t="inlineStr" s="1">
        <is>
          <t xml:space="preserve">Por persona</t>
        </is>
      </c>
    </row>
    <row r="2">
      <c r="A2" t="inlineStr">
        <is>
          <t xml:space="preserve">Alquiler del coche</t>
        </is>
      </c>
      <c r="B2">
        <v>236.4</v>
      </c>
      <c r="C2" t="inlineStr">
        <is>
          <t xml:space="preserve">Bruno</t>
        </is>
      </c>
      <c r="D2" t="inlineStr">
        <is>
          <t xml:space="preserve">x</t>
        </is>
      </c>
      <c r="E2" t="inlineStr">
        <is>
          <t xml:space="preserve">x</t>
        </is>
      </c>
      <c r="F2" t="inlineStr">
        <is>
          <t xml:space="preserve">x</t>
        </is>
      </c>
      <c r="G2" t="inlineStr">
        <is>
          <t xml:space="preserve">x</t>
        </is>
      </c>
      <c r="H2" t="inlineStr">
        <is>
          <t xml:space="preserve">x</t>
        </is>
      </c>
      <c r="L2">
        <f>IF(B2="","",COUNTA(D2:K2))</f>
      </c>
      <c r="M2">
        <f>IF(OR(B2="",L2=0),0,B2/L2)</f>
      </c>
    </row>
    <row r="3">
      <c r="A3" t="inlineStr">
        <is>
          <t xml:space="preserve">Gasolina de la ida</t>
        </is>
      </c>
      <c r="B3">
        <v>68.9</v>
      </c>
      <c r="C3" t="inlineStr">
        <is>
          <t xml:space="preserve">David</t>
        </is>
      </c>
      <c r="D3" t="inlineStr">
        <is>
          <t xml:space="preserve">x</t>
        </is>
      </c>
      <c r="E3" t="inlineStr">
        <is>
          <t xml:space="preserve">x</t>
        </is>
      </c>
      <c r="F3" t="inlineStr">
        <is>
          <t xml:space="preserve">x</t>
        </is>
      </c>
      <c r="G3" t="inlineStr">
        <is>
          <t xml:space="preserve">x</t>
        </is>
      </c>
      <c r="H3" t="inlineStr">
        <is>
          <t xml:space="preserve">x</t>
        </is>
      </c>
      <c r="L3">
        <f>IF(B3="","",COUNTA(D3:K3))</f>
      </c>
      <c r="M3">
        <f>IF(OR(B3="",L3=0),0,B3/L3)</f>
      </c>
    </row>
    <row r="4">
      <c r="A4" t="inlineStr">
        <is>
          <t xml:space="preserve">Casa rural, tres noches (incluye 100 € de fianza)</t>
        </is>
      </c>
      <c r="B4">
        <v>540</v>
      </c>
      <c r="C4" t="inlineStr">
        <is>
          <t xml:space="preserve">Ana</t>
        </is>
      </c>
      <c r="D4" t="inlineStr">
        <is>
          <t xml:space="preserve">x</t>
        </is>
      </c>
      <c r="E4" t="inlineStr">
        <is>
          <t xml:space="preserve">x</t>
        </is>
      </c>
      <c r="F4" t="inlineStr">
        <is>
          <t xml:space="preserve">x</t>
        </is>
      </c>
      <c r="G4" t="inlineStr">
        <is>
          <t xml:space="preserve">x</t>
        </is>
      </c>
      <c r="H4" t="inlineStr">
        <is>
          <t xml:space="preserve">x</t>
        </is>
      </c>
      <c r="L4">
        <f>IF(B4="","",COUNTA(D4:K4))</f>
      </c>
      <c r="M4">
        <f>IF(OR(B4="",L4=0),0,B4/L4)</f>
      </c>
    </row>
    <row r="5">
      <c r="A5" t="inlineStr">
        <is>
          <t xml:space="preserve">Compra en el supermercado</t>
        </is>
      </c>
      <c r="B5">
        <v>87.35</v>
      </c>
      <c r="C5" t="inlineStr">
        <is>
          <t xml:space="preserve">Carla</t>
        </is>
      </c>
      <c r="D5" t="inlineStr">
        <is>
          <t xml:space="preserve">x</t>
        </is>
      </c>
      <c r="E5" t="inlineStr">
        <is>
          <t xml:space="preserve">x</t>
        </is>
      </c>
      <c r="F5" t="inlineStr">
        <is>
          <t xml:space="preserve">x</t>
        </is>
      </c>
      <c r="G5" t="inlineStr">
        <is>
          <t xml:space="preserve">x</t>
        </is>
      </c>
      <c r="H5" t="inlineStr">
        <is>
          <t xml:space="preserve">x</t>
        </is>
      </c>
      <c r="L5">
        <f>IF(B5="","",COUNTA(D5:K5))</f>
      </c>
      <c r="M5">
        <f>IF(OR(B5="",L5=0),0,B5/L5)</f>
      </c>
    </row>
    <row r="6">
      <c r="A6" t="inlineStr">
        <is>
          <t xml:space="preserve">Cena en la sidrería</t>
        </is>
      </c>
      <c r="B6">
        <v>132.5</v>
      </c>
      <c r="C6" t="inlineStr">
        <is>
          <t xml:space="preserve">Elena</t>
        </is>
      </c>
      <c r="D6" t="inlineStr">
        <is>
          <t xml:space="preserve">x</t>
        </is>
      </c>
      <c r="E6" t="inlineStr">
        <is>
          <t xml:space="preserve">x</t>
        </is>
      </c>
      <c r="F6" t="inlineStr">
        <is>
          <t xml:space="preserve">x</t>
        </is>
      </c>
      <c r="G6" t="inlineStr">
        <is>
          <t xml:space="preserve">x</t>
        </is>
      </c>
      <c r="H6" t="inlineStr">
        <is>
          <t xml:space="preserve">x</t>
        </is>
      </c>
      <c r="L6">
        <f>IF(B6="","",COUNTA(D6:K6))</f>
      </c>
      <c r="M6">
        <f>IF(OR(B6="",L6=0),0,B6/L6)</f>
      </c>
    </row>
    <row r="7">
      <c r="A7" t="inlineStr">
        <is>
          <t xml:space="preserve">Peajes</t>
        </is>
      </c>
      <c r="B7">
        <v>23.6</v>
      </c>
      <c r="C7" t="inlineStr">
        <is>
          <t xml:space="preserve">Bruno</t>
        </is>
      </c>
      <c r="D7" t="inlineStr">
        <is>
          <t xml:space="preserve">x</t>
        </is>
      </c>
      <c r="E7" t="inlineStr">
        <is>
          <t xml:space="preserve">x</t>
        </is>
      </c>
      <c r="F7" t="inlineStr">
        <is>
          <t xml:space="preserve">x</t>
        </is>
      </c>
      <c r="G7" t="inlineStr">
        <is>
          <t xml:space="preserve">x</t>
        </is>
      </c>
      <c r="H7" t="inlineStr">
        <is>
          <t xml:space="preserve">x</t>
        </is>
      </c>
      <c r="L7">
        <f>IF(B7="","",COUNTA(D7:K7))</f>
      </c>
      <c r="M7">
        <f>IF(OR(B7="",L7=0),0,B7/L7)</f>
      </c>
    </row>
    <row r="8">
      <c r="A8" t="inlineStr">
        <is>
          <t xml:space="preserve">Kayak (solo Ana, Carla y David)</t>
        </is>
      </c>
      <c r="B8">
        <v>105</v>
      </c>
      <c r="C8" t="inlineStr">
        <is>
          <t xml:space="preserve">Carla</t>
        </is>
      </c>
      <c r="D8" t="inlineStr">
        <is>
          <t xml:space="preserve">x</t>
        </is>
      </c>
      <c r="F8" t="inlineStr">
        <is>
          <t xml:space="preserve">x</t>
        </is>
      </c>
      <c r="G8" t="inlineStr">
        <is>
          <t xml:space="preserve">x</t>
        </is>
      </c>
      <c r="L8">
        <f>IF(B8="","",COUNTA(D8:K8))</f>
      </c>
      <c r="M8">
        <f>IF(OR(B8="",L8=0),0,B8/L8)</f>
      </c>
    </row>
    <row r="9">
      <c r="A9" t="inlineStr">
        <is>
          <t xml:space="preserve">Comida en Cudillero (Elena no fue)</t>
        </is>
      </c>
      <c r="B9">
        <v>96</v>
      </c>
      <c r="C9" t="inlineStr">
        <is>
          <t xml:space="preserve">David</t>
        </is>
      </c>
      <c r="D9" t="inlineStr">
        <is>
          <t xml:space="preserve">x</t>
        </is>
      </c>
      <c r="E9" t="inlineStr">
        <is>
          <t xml:space="preserve">x</t>
        </is>
      </c>
      <c r="F9" t="inlineStr">
        <is>
          <t xml:space="preserve">x</t>
        </is>
      </c>
      <c r="G9" t="inlineStr">
        <is>
          <t xml:space="preserve">x</t>
        </is>
      </c>
      <c r="L9">
        <f>IF(B9="","",COUNTA(D9:K9))</f>
      </c>
      <c r="M9">
        <f>IF(OR(B9="",L9=0),0,B9/L9)</f>
      </c>
    </row>
    <row r="10">
      <c r="A10" t="inlineStr">
        <is>
          <t xml:space="preserve">Museo (entradas de Bruno y Elena)</t>
        </is>
      </c>
      <c r="B10">
        <v>18</v>
      </c>
      <c r="C10" t="inlineStr">
        <is>
          <t xml:space="preserve">Bruno</t>
        </is>
      </c>
      <c r="E10" t="inlineStr">
        <is>
          <t xml:space="preserve">x</t>
        </is>
      </c>
      <c r="H10" t="inlineStr">
        <is>
          <t xml:space="preserve">x</t>
        </is>
      </c>
      <c r="L10">
        <f>IF(B10="","",COUNTA(D10:K10))</f>
      </c>
      <c r="M10">
        <f>IF(OR(B10="",L10=0),0,B10/L10)</f>
      </c>
    </row>
    <row r="11">
      <c r="A11" t="inlineStr">
        <is>
          <t xml:space="preserve">Cafés y churros</t>
        </is>
      </c>
      <c r="B11">
        <v>21.75</v>
      </c>
      <c r="C11" t="inlineStr">
        <is>
          <t xml:space="preserve">Ana</t>
        </is>
      </c>
      <c r="D11" t="inlineStr">
        <is>
          <t xml:space="preserve">x</t>
        </is>
      </c>
      <c r="E11" t="inlineStr">
        <is>
          <t xml:space="preserve">x</t>
        </is>
      </c>
      <c r="F11" t="inlineStr">
        <is>
          <t xml:space="preserve">x</t>
        </is>
      </c>
      <c r="G11" t="inlineStr">
        <is>
          <t xml:space="preserve">x</t>
        </is>
      </c>
      <c r="H11" t="inlineStr">
        <is>
          <t xml:space="preserve">x</t>
        </is>
      </c>
      <c r="L11">
        <f>IF(B11="","",COUNTA(D11:K11))</f>
      </c>
      <c r="M11">
        <f>IF(OR(B11="",L11=0),0,B11/L11)</f>
      </c>
    </row>
    <row r="12">
      <c r="A12" t="inlineStr">
        <is>
          <t xml:space="preserve">Helados</t>
        </is>
      </c>
      <c r="B12">
        <v>14.5</v>
      </c>
      <c r="C12" t="inlineStr">
        <is>
          <t xml:space="preserve">Carla</t>
        </is>
      </c>
      <c r="D12" t="inlineStr">
        <is>
          <t xml:space="preserve">x</t>
        </is>
      </c>
      <c r="E12" t="inlineStr">
        <is>
          <t xml:space="preserve">x</t>
        </is>
      </c>
      <c r="F12" t="inlineStr">
        <is>
          <t xml:space="preserve">x</t>
        </is>
      </c>
      <c r="G12" t="inlineStr">
        <is>
          <t xml:space="preserve">x</t>
        </is>
      </c>
      <c r="H12" t="inlineStr">
        <is>
          <t xml:space="preserve">x</t>
        </is>
      </c>
      <c r="L12">
        <f>IF(B12="","",COUNTA(D12:K12))</f>
      </c>
      <c r="M12">
        <f>IF(OR(B12="",L12=0),0,B12/L12)</f>
      </c>
    </row>
    <row r="13">
      <c r="A13" t="inlineStr">
        <is>
          <t xml:space="preserve">Compra para la cena del sábado</t>
        </is>
      </c>
      <c r="B13">
        <v>54.2</v>
      </c>
      <c r="C13" t="inlineStr">
        <is>
          <t xml:space="preserve">Elena</t>
        </is>
      </c>
      <c r="D13" t="inlineStr">
        <is>
          <t xml:space="preserve">x</t>
        </is>
      </c>
      <c r="E13" t="inlineStr">
        <is>
          <t xml:space="preserve">x</t>
        </is>
      </c>
      <c r="F13" t="inlineStr">
        <is>
          <t xml:space="preserve">x</t>
        </is>
      </c>
      <c r="G13" t="inlineStr">
        <is>
          <t xml:space="preserve">x</t>
        </is>
      </c>
      <c r="H13" t="inlineStr">
        <is>
          <t xml:space="preserve">x</t>
        </is>
      </c>
      <c r="L13">
        <f>IF(B13="","",COUNTA(D13:K13))</f>
      </c>
      <c r="M13">
        <f>IF(OR(B13="",L13=0),0,B13/L13)</f>
      </c>
    </row>
    <row r="14">
      <c r="A14" t="inlineStr">
        <is>
          <t xml:space="preserve">Parking en Oviedo</t>
        </is>
      </c>
      <c r="B14">
        <v>12.4</v>
      </c>
      <c r="C14" t="inlineStr">
        <is>
          <t xml:space="preserve">David</t>
        </is>
      </c>
      <c r="D14" t="inlineStr">
        <is>
          <t xml:space="preserve">x</t>
        </is>
      </c>
      <c r="E14" t="inlineStr">
        <is>
          <t xml:space="preserve">x</t>
        </is>
      </c>
      <c r="F14" t="inlineStr">
        <is>
          <t xml:space="preserve">x</t>
        </is>
      </c>
      <c r="G14" t="inlineStr">
        <is>
          <t xml:space="preserve">x</t>
        </is>
      </c>
      <c r="H14" t="inlineStr">
        <is>
          <t xml:space="preserve">x</t>
        </is>
      </c>
      <c r="L14">
        <f>IF(B14="","",COUNTA(D14:K14))</f>
      </c>
      <c r="M14">
        <f>IF(OR(B14="",L14=0),0,B14/L14)</f>
      </c>
    </row>
    <row r="15">
      <c r="A15" t="inlineStr">
        <is>
          <t xml:space="preserve">Autobús de vuelta de Carla</t>
        </is>
      </c>
      <c r="B15">
        <v>31.5</v>
      </c>
      <c r="C15" t="inlineStr">
        <is>
          <t xml:space="preserve">Ana</t>
        </is>
      </c>
      <c r="F15" t="inlineStr">
        <is>
          <t xml:space="preserve">x</t>
        </is>
      </c>
      <c r="L15">
        <f>IF(B15="","",COUNTA(D15:K15))</f>
      </c>
      <c r="M15">
        <f>IF(OR(B15="",L15=0),0,B15/L15)</f>
      </c>
    </row>
    <row r="16">
      <c r="A16" t="inlineStr">
        <is>
          <t xml:space="preserve">Comida del domingo (Carla ya se había ido)</t>
        </is>
      </c>
      <c r="B16">
        <v>118.8</v>
      </c>
      <c r="C16" t="inlineStr">
        <is>
          <t xml:space="preserve">Bruno</t>
        </is>
      </c>
      <c r="D16" t="inlineStr">
        <is>
          <t xml:space="preserve">x</t>
        </is>
      </c>
      <c r="E16" t="inlineStr">
        <is>
          <t xml:space="preserve">x</t>
        </is>
      </c>
      <c r="G16" t="inlineStr">
        <is>
          <t xml:space="preserve">x</t>
        </is>
      </c>
      <c r="H16" t="inlineStr">
        <is>
          <t xml:space="preserve">x</t>
        </is>
      </c>
      <c r="L16">
        <f>IF(B16="","",COUNTA(D16:K16))</f>
      </c>
      <c r="M16">
        <f>IF(OR(B16="",L16=0),0,B16/L16)</f>
      </c>
    </row>
    <row r="17">
      <c r="A17" t="inlineStr">
        <is>
          <t xml:space="preserve">Gasolina de la vuelta (a medias Bruno y David; Carla ya no venía) (parte de Bruno)</t>
        </is>
      </c>
      <c r="B17">
        <v>22.5</v>
      </c>
      <c r="C17" t="inlineStr">
        <is>
          <t xml:space="preserve">Bruno</t>
        </is>
      </c>
      <c r="D17" t="inlineStr">
        <is>
          <t xml:space="preserve">x</t>
        </is>
      </c>
      <c r="E17" t="inlineStr">
        <is>
          <t xml:space="preserve">x</t>
        </is>
      </c>
      <c r="G17" t="inlineStr">
        <is>
          <t xml:space="preserve">x</t>
        </is>
      </c>
      <c r="H17" t="inlineStr">
        <is>
          <t xml:space="preserve">x</t>
        </is>
      </c>
      <c r="L17">
        <f>IF(B17="","",COUNTA(D17:K17))</f>
      </c>
      <c r="M17">
        <f>IF(OR(B17="",L17=0),0,B17/L17)</f>
      </c>
    </row>
    <row r="18">
      <c r="A18" t="inlineStr">
        <is>
          <t xml:space="preserve">Gasolina de la vuelta (a medias Bruno y David; Carla ya no venía) (parte de David)</t>
        </is>
      </c>
      <c r="B18">
        <v>22.5</v>
      </c>
      <c r="C18" t="inlineStr">
        <is>
          <t xml:space="preserve">David</t>
        </is>
      </c>
      <c r="D18" t="inlineStr">
        <is>
          <t xml:space="preserve">x</t>
        </is>
      </c>
      <c r="E18" t="inlineStr">
        <is>
          <t xml:space="preserve">x</t>
        </is>
      </c>
      <c r="G18" t="inlineStr">
        <is>
          <t xml:space="preserve">x</t>
        </is>
      </c>
      <c r="H18" t="inlineStr">
        <is>
          <t xml:space="preserve">x</t>
        </is>
      </c>
      <c r="L18">
        <f>IF(B18="","",COUNTA(D18:K18))</f>
      </c>
      <c r="M18">
        <f>IF(OR(B18="",L18=0),0,B18/L18)</f>
      </c>
    </row>
    <row r="19">
      <c r="A19" t="inlineStr">
        <is>
          <t xml:space="preserve">Fianza de la casa devuelta a Ana</t>
        </is>
      </c>
      <c r="B19">
        <v>-100</v>
      </c>
      <c r="C19" t="inlineStr">
        <is>
          <t xml:space="preserve">Ana</t>
        </is>
      </c>
      <c r="D19" t="inlineStr">
        <is>
          <t xml:space="preserve">x</t>
        </is>
      </c>
      <c r="E19" t="inlineStr">
        <is>
          <t xml:space="preserve">x</t>
        </is>
      </c>
      <c r="F19" t="inlineStr">
        <is>
          <t xml:space="preserve">x</t>
        </is>
      </c>
      <c r="G19" t="inlineStr">
        <is>
          <t xml:space="preserve">x</t>
        </is>
      </c>
      <c r="H19" t="inlineStr">
        <is>
          <t xml:space="preserve">x</t>
        </is>
      </c>
      <c r="L19">
        <f>IF(B19="","",COUNTA(D19:K19))</f>
      </c>
      <c r="M19">
        <f>IF(OR(B19="",L19=0),0,B19/L19)</f>
      </c>
    </row>
    <row r="20">
      <c r="L20">
        <f>IF(B20="","",COUNTA(D20:K20))</f>
      </c>
      <c r="M20">
        <f>IF(OR(B20="",L20=0),0,B20/L20)</f>
      </c>
    </row>
    <row r="21">
      <c r="L21">
        <f>IF(B21="","",COUNTA(D21:K21))</f>
      </c>
      <c r="M21">
        <f>IF(OR(B21="",L21=0),0,B21/L21)</f>
      </c>
    </row>
    <row r="22">
      <c r="L22">
        <f>IF(B22="","",COUNTA(D22:K22))</f>
      </c>
      <c r="M22">
        <f>IF(OR(B22="",L22=0),0,B22/L22)</f>
      </c>
    </row>
    <row r="23">
      <c r="L23">
        <f>IF(B23="","",COUNTA(D23:K23))</f>
      </c>
      <c r="M23">
        <f>IF(OR(B23="",L23=0),0,B23/L23)</f>
      </c>
    </row>
    <row r="24">
      <c r="L24">
        <f>IF(B24="","",COUNTA(D24:K24))</f>
      </c>
      <c r="M24">
        <f>IF(OR(B24="",L24=0),0,B24/L24)</f>
      </c>
    </row>
    <row r="25">
      <c r="L25">
        <f>IF(B25="","",COUNTA(D25:K25))</f>
      </c>
      <c r="M25">
        <f>IF(OR(B25="",L25=0),0,B25/L25)</f>
      </c>
    </row>
    <row r="26">
      <c r="L26">
        <f>IF(B26="","",COUNTA(D26:K26))</f>
      </c>
      <c r="M26">
        <f>IF(OR(B26="",L26=0),0,B26/L26)</f>
      </c>
    </row>
    <row r="27">
      <c r="L27">
        <f>IF(B27="","",COUNTA(D27:K27))</f>
      </c>
      <c r="M27">
        <f>IF(OR(B27="",L27=0),0,B27/L27)</f>
      </c>
    </row>
    <row r="28">
      <c r="L28">
        <f>IF(B28="","",COUNTA(D28:K28))</f>
      </c>
      <c r="M28">
        <f>IF(OR(B28="",L28=0),0,B28/L28)</f>
      </c>
    </row>
    <row r="29">
      <c r="L29">
        <f>IF(B29="","",COUNTA(D29:K29))</f>
      </c>
      <c r="M29">
        <f>IF(OR(B29="",L29=0),0,B29/L29)</f>
      </c>
    </row>
    <row r="30">
      <c r="L30">
        <f>IF(B30="","",COUNTA(D30:K30))</f>
      </c>
      <c r="M30">
        <f>IF(OR(B30="",L30=0),0,B30/L30)</f>
      </c>
    </row>
    <row r="31">
      <c r="L31">
        <f>IF(B31="","",COUNTA(D31:K31))</f>
      </c>
      <c r="M31">
        <f>IF(OR(B31="",L31=0),0,B31/L31)</f>
      </c>
    </row>
    <row r="32">
      <c r="L32">
        <f>IF(B32="","",COUNTA(D32:K32))</f>
      </c>
      <c r="M32">
        <f>IF(OR(B32="",L32=0),0,B32/L32)</f>
      </c>
    </row>
    <row r="33">
      <c r="L33">
        <f>IF(B33="","",COUNTA(D33:K33))</f>
      </c>
      <c r="M33">
        <f>IF(OR(B33="",L33=0),0,B33/L33)</f>
      </c>
    </row>
    <row r="34">
      <c r="L34">
        <f>IF(B34="","",COUNTA(D34:K34))</f>
      </c>
      <c r="M34">
        <f>IF(OR(B34="",L34=0),0,B34/L34)</f>
      </c>
    </row>
    <row r="35">
      <c r="L35">
        <f>IF(B35="","",COUNTA(D35:K35))</f>
      </c>
      <c r="M35">
        <f>IF(OR(B35="",L35=0),0,B35/L35)</f>
      </c>
    </row>
    <row r="36">
      <c r="L36">
        <f>IF(B36="","",COUNTA(D36:K36))</f>
      </c>
      <c r="M36">
        <f>IF(OR(B36="",L36=0),0,B36/L36)</f>
      </c>
    </row>
    <row r="37">
      <c r="L37">
        <f>IF(B37="","",COUNTA(D37:K37))</f>
      </c>
      <c r="M37">
        <f>IF(OR(B37="",L37=0),0,B37/L37)</f>
      </c>
    </row>
    <row r="38">
      <c r="L38">
        <f>IF(B38="","",COUNTA(D38:K38))</f>
      </c>
      <c r="M38">
        <f>IF(OR(B38="",L38=0),0,B38/L38)</f>
      </c>
    </row>
    <row r="39">
      <c r="L39">
        <f>IF(B39="","",COUNTA(D39:K39))</f>
      </c>
      <c r="M39">
        <f>IF(OR(B39="",L39=0),0,B39/L39)</f>
      </c>
    </row>
    <row r="40">
      <c r="L40">
        <f>IF(B40="","",COUNTA(D40:K40))</f>
      </c>
      <c r="M40">
        <f>IF(OR(B40="",L40=0),0,B40/L40)</f>
      </c>
    </row>
    <row r="41">
      <c r="L41">
        <f>IF(B41="","",COUNTA(D41:K41))</f>
      </c>
      <c r="M41">
        <f>IF(OR(B41="",L41=0),0,B41/L41)</f>
      </c>
    </row>
    <row r="42">
      <c r="L42">
        <f>IF(B42="","",COUNTA(D42:K42))</f>
      </c>
      <c r="M42">
        <f>IF(OR(B42="",L42=0),0,B42/L42)</f>
      </c>
    </row>
    <row r="43">
      <c r="L43">
        <f>IF(B43="","",COUNTA(D43:K43))</f>
      </c>
      <c r="M43">
        <f>IF(OR(B43="",L43=0),0,B43/L43)</f>
      </c>
    </row>
    <row r="44">
      <c r="L44">
        <f>IF(B44="","",COUNTA(D44:K44))</f>
      </c>
      <c r="M44">
        <f>IF(OR(B44="",L44=0),0,B44/L44)</f>
      </c>
    </row>
    <row r="45">
      <c r="L45">
        <f>IF(B45="","",COUNTA(D45:K45))</f>
      </c>
      <c r="M45">
        <f>IF(OR(B45="",L45=0),0,B45/L45)</f>
      </c>
    </row>
    <row r="46">
      <c r="L46">
        <f>IF(B46="","",COUNTA(D46:K46))</f>
      </c>
      <c r="M46">
        <f>IF(OR(B46="",L46=0),0,B46/L46)</f>
      </c>
    </row>
    <row r="47">
      <c r="L47">
        <f>IF(B47="","",COUNTA(D47:K47))</f>
      </c>
      <c r="M47">
        <f>IF(OR(B47="",L47=0),0,B47/L47)</f>
      </c>
    </row>
    <row r="48">
      <c r="L48">
        <f>IF(B48="","",COUNTA(D48:K48))</f>
      </c>
      <c r="M48">
        <f>IF(OR(B48="",L48=0),0,B48/L48)</f>
      </c>
    </row>
    <row r="49">
      <c r="L49">
        <f>IF(B49="","",COUNTA(D49:K49))</f>
      </c>
      <c r="M49">
        <f>IF(OR(B49="",L49=0),0,B49/L49)</f>
      </c>
    </row>
    <row r="50">
      <c r="L50">
        <f>IF(B50="","",COUNTA(D50:K50))</f>
      </c>
      <c r="M50">
        <f>IF(OR(B50="",L50=0),0,B50/L50)</f>
      </c>
    </row>
    <row r="51">
      <c r="L51">
        <f>IF(B51="","",COUNTA(D51:K51))</f>
      </c>
      <c r="M51">
        <f>IF(OR(B51="",L51=0),0,B51/L51)</f>
      </c>
    </row>
    <row r="52">
      <c r="L52">
        <f>IF(B52="","",COUNTA(D52:K52))</f>
      </c>
      <c r="M52">
        <f>IF(OR(B52="",L52=0),0,B52/L52)</f>
      </c>
    </row>
    <row r="53">
      <c r="L53">
        <f>IF(B53="","",COUNTA(D53:K53))</f>
      </c>
      <c r="M53">
        <f>IF(OR(B53="",L53=0),0,B53/L53)</f>
      </c>
    </row>
    <row r="54">
      <c r="L54">
        <f>IF(B54="","",COUNTA(D54:K54))</f>
      </c>
      <c r="M54">
        <f>IF(OR(B54="",L54=0),0,B54/L54)</f>
      </c>
    </row>
    <row r="55">
      <c r="L55">
        <f>IF(B55="","",COUNTA(D55:K55))</f>
      </c>
      <c r="M55">
        <f>IF(OR(B55="",L55=0),0,B55/L55)</f>
      </c>
    </row>
    <row r="56">
      <c r="L56">
        <f>IF(B56="","",COUNTA(D56:K56))</f>
      </c>
      <c r="M56">
        <f>IF(OR(B56="",L56=0),0,B56/L56)</f>
      </c>
    </row>
    <row r="57">
      <c r="L57">
        <f>IF(B57="","",COUNTA(D57:K57))</f>
      </c>
      <c r="M57">
        <f>IF(OR(B57="",L57=0),0,B57/L57)</f>
      </c>
    </row>
    <row r="58">
      <c r="L58">
        <f>IF(B58="","",COUNTA(D58:K58))</f>
      </c>
      <c r="M58">
        <f>IF(OR(B58="",L58=0),0,B58/L58)</f>
      </c>
    </row>
    <row r="59">
      <c r="L59">
        <f>IF(B59="","",COUNTA(D59:K59))</f>
      </c>
      <c r="M59">
        <f>IF(OR(B59="",L59=0),0,B59/L59)</f>
      </c>
    </row>
    <row r="60">
      <c r="L60">
        <f>IF(B60="","",COUNTA(D60:K60))</f>
      </c>
      <c r="M60">
        <f>IF(OR(B60="",L60=0),0,B60/L60)</f>
      </c>
    </row>
    <row r="61">
      <c r="L61">
        <f>IF(B61="","",COUNTA(D61:K61))</f>
      </c>
      <c r="M61">
        <f>IF(OR(B61="",L61=0),0,B61/L61)</f>
      </c>
    </row>
    <row r="62">
      <c r="L62">
        <f>IF(B62="","",COUNTA(D62:K62))</f>
      </c>
      <c r="M62">
        <f>IF(OR(B62="",L62=0),0,B62/L62)</f>
      </c>
    </row>
    <row r="63">
      <c r="L63">
        <f>IF(B63="","",COUNTA(D63:K63))</f>
      </c>
      <c r="M63">
        <f>IF(OR(B63="",L63=0),0,B63/L63)</f>
      </c>
    </row>
    <row r="64">
      <c r="L64">
        <f>IF(B64="","",COUNTA(D64:K64))</f>
      </c>
      <c r="M64">
        <f>IF(OR(B64="",L64=0),0,B64/L64)</f>
      </c>
    </row>
    <row r="65">
      <c r="L65">
        <f>IF(B65="","",COUNTA(D65:K65))</f>
      </c>
      <c r="M65">
        <f>IF(OR(B65="",L65=0),0,B65/L65)</f>
      </c>
    </row>
    <row r="66">
      <c r="L66">
        <f>IF(B66="","",COUNTA(D66:K66))</f>
      </c>
      <c r="M66">
        <f>IF(OR(B66="",L66=0),0,B66/L66)</f>
      </c>
    </row>
    <row r="67">
      <c r="L67">
        <f>IF(B67="","",COUNTA(D67:K67))</f>
      </c>
      <c r="M67">
        <f>IF(OR(B67="",L67=0),0,B67/L67)</f>
      </c>
    </row>
    <row r="68">
      <c r="L68">
        <f>IF(B68="","",COUNTA(D68:K68))</f>
      </c>
      <c r="M68">
        <f>IF(OR(B68="",L68=0),0,B68/L68)</f>
      </c>
    </row>
    <row r="69">
      <c r="L69">
        <f>IF(B69="","",COUNTA(D69:K69))</f>
      </c>
      <c r="M69">
        <f>IF(OR(B69="",L69=0),0,B69/L69)</f>
      </c>
    </row>
    <row r="70">
      <c r="L70">
        <f>IF(B70="","",COUNTA(D70:K70))</f>
      </c>
      <c r="M70">
        <f>IF(OR(B70="",L70=0),0,B70/L70)</f>
      </c>
    </row>
    <row r="71">
      <c r="L71">
        <f>IF(B71="","",COUNTA(D71:K71))</f>
      </c>
      <c r="M71">
        <f>IF(OR(B71="",L71=0),0,B71/L71)</f>
      </c>
    </row>
    <row r="72">
      <c r="L72">
        <f>IF(B72="","",COUNTA(D72:K72))</f>
      </c>
      <c r="M72">
        <f>IF(OR(B72="",L72=0),0,B72/L72)</f>
      </c>
    </row>
    <row r="73">
      <c r="L73">
        <f>IF(B73="","",COUNTA(D73:K73))</f>
      </c>
      <c r="M73">
        <f>IF(OR(B73="",L73=0),0,B73/L73)</f>
      </c>
    </row>
    <row r="74">
      <c r="L74">
        <f>IF(B74="","",COUNTA(D74:K74))</f>
      </c>
      <c r="M74">
        <f>IF(OR(B74="",L74=0),0,B74/L74)</f>
      </c>
    </row>
    <row r="75">
      <c r="L75">
        <f>IF(B75="","",COUNTA(D75:K75))</f>
      </c>
      <c r="M75">
        <f>IF(OR(B75="",L75=0),0,B75/L75)</f>
      </c>
    </row>
    <row r="76">
      <c r="L76">
        <f>IF(B76="","",COUNTA(D76:K76))</f>
      </c>
      <c r="M76">
        <f>IF(OR(B76="",L76=0),0,B76/L76)</f>
      </c>
    </row>
    <row r="77">
      <c r="L77">
        <f>IF(B77="","",COUNTA(D77:K77))</f>
      </c>
      <c r="M77">
        <f>IF(OR(B77="",L77=0),0,B77/L77)</f>
      </c>
    </row>
    <row r="78">
      <c r="L78">
        <f>IF(B78="","",COUNTA(D78:K78))</f>
      </c>
      <c r="M78">
        <f>IF(OR(B78="",L78=0),0,B78/L78)</f>
      </c>
    </row>
    <row r="79">
      <c r="L79">
        <f>IF(B79="","",COUNTA(D79:K79))</f>
      </c>
      <c r="M79">
        <f>IF(OR(B79="",L79=0),0,B79/L79)</f>
      </c>
    </row>
    <row r="80">
      <c r="L80">
        <f>IF(B80="","",COUNTA(D80:K80))</f>
      </c>
      <c r="M80">
        <f>IF(OR(B80="",L80=0),0,B80/L80)</f>
      </c>
    </row>
    <row r="81">
      <c r="L81">
        <f>IF(B81="","",COUNTA(D81:K81))</f>
      </c>
      <c r="M81">
        <f>IF(OR(B81="",L81=0),0,B81/L81)</f>
      </c>
    </row>
    <row r="82">
      <c r="L82">
        <f>IF(B82="","",COUNTA(D82:K82))</f>
      </c>
      <c r="M82">
        <f>IF(OR(B82="",L82=0),0,B82/L82)</f>
      </c>
    </row>
    <row r="83">
      <c r="L83">
        <f>IF(B83="","",COUNTA(D83:K83))</f>
      </c>
      <c r="M83">
        <f>IF(OR(B83="",L83=0),0,B83/L83)</f>
      </c>
    </row>
    <row r="84">
      <c r="L84">
        <f>IF(B84="","",COUNTA(D84:K84))</f>
      </c>
      <c r="M84">
        <f>IF(OR(B84="",L84=0),0,B84/L84)</f>
      </c>
    </row>
    <row r="85">
      <c r="L85">
        <f>IF(B85="","",COUNTA(D85:K85))</f>
      </c>
      <c r="M85">
        <f>IF(OR(B85="",L85=0),0,B85/L85)</f>
      </c>
    </row>
    <row r="86">
      <c r="L86">
        <f>IF(B86="","",COUNTA(D86:K86))</f>
      </c>
      <c r="M86">
        <f>IF(OR(B86="",L86=0),0,B86/L86)</f>
      </c>
    </row>
    <row r="87">
      <c r="L87">
        <f>IF(B87="","",COUNTA(D87:K87))</f>
      </c>
      <c r="M87">
        <f>IF(OR(B87="",L87=0),0,B87/L87)</f>
      </c>
    </row>
    <row r="88">
      <c r="L88">
        <f>IF(B88="","",COUNTA(D88:K88))</f>
      </c>
      <c r="M88">
        <f>IF(OR(B88="",L88=0),0,B88/L88)</f>
      </c>
    </row>
    <row r="89">
      <c r="L89">
        <f>IF(B89="","",COUNTA(D89:K89))</f>
      </c>
      <c r="M89">
        <f>IF(OR(B89="",L89=0),0,B89/L89)</f>
      </c>
    </row>
    <row r="90">
      <c r="L90">
        <f>IF(B90="","",COUNTA(D90:K90))</f>
      </c>
      <c r="M90">
        <f>IF(OR(B90="",L90=0),0,B90/L90)</f>
      </c>
    </row>
    <row r="91">
      <c r="L91">
        <f>IF(B91="","",COUNTA(D91:K91))</f>
      </c>
      <c r="M91">
        <f>IF(OR(B91="",L91=0),0,B91/L91)</f>
      </c>
    </row>
    <row r="92">
      <c r="L92">
        <f>IF(B92="","",COUNTA(D92:K92))</f>
      </c>
      <c r="M92">
        <f>IF(OR(B92="",L92=0),0,B92/L92)</f>
      </c>
    </row>
    <row r="93">
      <c r="L93">
        <f>IF(B93="","",COUNTA(D93:K93))</f>
      </c>
      <c r="M93">
        <f>IF(OR(B93="",L93=0),0,B93/L93)</f>
      </c>
    </row>
    <row r="94">
      <c r="L94">
        <f>IF(B94="","",COUNTA(D94:K94))</f>
      </c>
      <c r="M94">
        <f>IF(OR(B94="",L94=0),0,B94/L94)</f>
      </c>
    </row>
    <row r="95">
      <c r="L95">
        <f>IF(B95="","",COUNTA(D95:K95))</f>
      </c>
      <c r="M95">
        <f>IF(OR(B95="",L95=0),0,B95/L95)</f>
      </c>
    </row>
    <row r="96">
      <c r="L96">
        <f>IF(B96="","",COUNTA(D96:K96))</f>
      </c>
      <c r="M96">
        <f>IF(OR(B96="",L96=0),0,B96/L96)</f>
      </c>
    </row>
    <row r="97">
      <c r="L97">
        <f>IF(B97="","",COUNTA(D97:K97))</f>
      </c>
      <c r="M97">
        <f>IF(OR(B97="",L97=0),0,B97/L97)</f>
      </c>
    </row>
    <row r="98">
      <c r="L98">
        <f>IF(B98="","",COUNTA(D98:K98))</f>
      </c>
      <c r="M98">
        <f>IF(OR(B98="",L98=0),0,B98/L98)</f>
      </c>
    </row>
    <row r="99">
      <c r="L99">
        <f>IF(B99="","",COUNTA(D99:K99))</f>
      </c>
      <c r="M99">
        <f>IF(OR(B99="",L99=0),0,B99/L99)</f>
      </c>
    </row>
    <row r="100">
      <c r="L100">
        <f>IF(B100="","",COUNTA(D100:K100))</f>
      </c>
      <c r="M100">
        <f>IF(OR(B100="",L100=0),0,B100/L100)</f>
      </c>
    </row>
    <row r="101">
      <c r="L101">
        <f>IF(B101="","",COUNTA(D101:K101))</f>
      </c>
      <c r="M101">
        <f>IF(OR(B101="",L101=0),0,B101/L101)</f>
      </c>
    </row>
    <row r="102">
      <c r="L102">
        <f>IF(B102="","",COUNTA(D102:K102))</f>
      </c>
      <c r="M102">
        <f>IF(OR(B102="",L102=0),0,B102/L102)</f>
      </c>
    </row>
    <row r="103">
      <c r="L103">
        <f>IF(B103="","",COUNTA(D103:K103))</f>
      </c>
      <c r="M103">
        <f>IF(OR(B103="",L103=0),0,B103/L103)</f>
      </c>
    </row>
    <row r="104">
      <c r="L104">
        <f>IF(B104="","",COUNTA(D104:K104))</f>
      </c>
      <c r="M104">
        <f>IF(OR(B104="",L104=0),0,B104/L104)</f>
      </c>
    </row>
    <row r="105">
      <c r="L105">
        <f>IF(B105="","",COUNTA(D105:K105))</f>
      </c>
      <c r="M105">
        <f>IF(OR(B105="",L105=0),0,B105/L105)</f>
      </c>
    </row>
    <row r="106">
      <c r="L106">
        <f>IF(B106="","",COUNTA(D106:K106))</f>
      </c>
      <c r="M106">
        <f>IF(OR(B106="",L106=0),0,B106/L106)</f>
      </c>
    </row>
    <row r="107">
      <c r="L107">
        <f>IF(B107="","",COUNTA(D107:K107))</f>
      </c>
      <c r="M107">
        <f>IF(OR(B107="",L107=0),0,B107/L107)</f>
      </c>
    </row>
    <row r="108">
      <c r="L108">
        <f>IF(B108="","",COUNTA(D108:K108))</f>
      </c>
      <c r="M108">
        <f>IF(OR(B108="",L108=0),0,B108/L108)</f>
      </c>
    </row>
    <row r="109">
      <c r="L109">
        <f>IF(B109="","",COUNTA(D109:K109))</f>
      </c>
      <c r="M109">
        <f>IF(OR(B109="",L109=0),0,B109/L109)</f>
      </c>
    </row>
    <row r="110">
      <c r="L110">
        <f>IF(B110="","",COUNTA(D110:K110))</f>
      </c>
      <c r="M110">
        <f>IF(OR(B110="",L110=0),0,B110/L110)</f>
      </c>
    </row>
    <row r="111">
      <c r="L111">
        <f>IF(B111="","",COUNTA(D111:K111))</f>
      </c>
      <c r="M111">
        <f>IF(OR(B111="",L111=0),0,B111/L111)</f>
      </c>
    </row>
    <row r="112">
      <c r="L112">
        <f>IF(B112="","",COUNTA(D112:K112))</f>
      </c>
      <c r="M112">
        <f>IF(OR(B112="",L112=0),0,B112/L112)</f>
      </c>
    </row>
    <row r="113">
      <c r="L113">
        <f>IF(B113="","",COUNTA(D113:K113))</f>
      </c>
      <c r="M113">
        <f>IF(OR(B113="",L113=0),0,B113/L113)</f>
      </c>
    </row>
    <row r="114">
      <c r="L114">
        <f>IF(B114="","",COUNTA(D114:K114))</f>
      </c>
      <c r="M114">
        <f>IF(OR(B114="",L114=0),0,B114/L114)</f>
      </c>
    </row>
    <row r="115">
      <c r="L115">
        <f>IF(B115="","",COUNTA(D115:K115))</f>
      </c>
      <c r="M115">
        <f>IF(OR(B115="",L115=0),0,B115/L115)</f>
      </c>
    </row>
    <row r="116">
      <c r="L116">
        <f>IF(B116="","",COUNTA(D116:K116))</f>
      </c>
      <c r="M116">
        <f>IF(OR(B116="",L116=0),0,B116/L116)</f>
      </c>
    </row>
    <row r="117">
      <c r="L117">
        <f>IF(B117="","",COUNTA(D117:K117))</f>
      </c>
      <c r="M117">
        <f>IF(OR(B117="",L117=0),0,B117/L117)</f>
      </c>
    </row>
    <row r="118">
      <c r="L118">
        <f>IF(B118="","",COUNTA(D118:K118))</f>
      </c>
      <c r="M118">
        <f>IF(OR(B118="",L118=0),0,B118/L118)</f>
      </c>
    </row>
    <row r="119">
      <c r="L119">
        <f>IF(B119="","",COUNTA(D119:K119))</f>
      </c>
      <c r="M119">
        <f>IF(OR(B119="",L119=0),0,B119/L119)</f>
      </c>
    </row>
    <row r="120">
      <c r="L120">
        <f>IF(B120="","",COUNTA(D120:K120))</f>
      </c>
      <c r="M120">
        <f>IF(OR(B120="",L120=0),0,B120/L120)</f>
      </c>
    </row>
    <row r="121">
      <c r="L121">
        <f>IF(B121="","",COUNTA(D121:K121))</f>
      </c>
      <c r="M121">
        <f>IF(OR(B121="",L121=0),0,B121/L121)</f>
      </c>
    </row>
    <row r="122">
      <c r="L122">
        <f>IF(B122="","",COUNTA(D122:K122))</f>
      </c>
      <c r="M122">
        <f>IF(OR(B122="",L122=0),0,B122/L122)</f>
      </c>
    </row>
    <row r="123">
      <c r="L123">
        <f>IF(B123="","",COUNTA(D123:K123))</f>
      </c>
      <c r="M123">
        <f>IF(OR(B123="",L123=0),0,B123/L123)</f>
      </c>
    </row>
    <row r="124">
      <c r="L124">
        <f>IF(B124="","",COUNTA(D124:K124))</f>
      </c>
      <c r="M124">
        <f>IF(OR(B124="",L124=0),0,B124/L124)</f>
      </c>
    </row>
    <row r="125">
      <c r="L125">
        <f>IF(B125="","",COUNTA(D125:K125))</f>
      </c>
      <c r="M125">
        <f>IF(OR(B125="",L125=0),0,B125/L125)</f>
      </c>
    </row>
    <row r="126">
      <c r="L126">
        <f>IF(B126="","",COUNTA(D126:K126))</f>
      </c>
      <c r="M126">
        <f>IF(OR(B126="",L126=0),0,B126/L126)</f>
      </c>
    </row>
    <row r="127">
      <c r="L127">
        <f>IF(B127="","",COUNTA(D127:K127))</f>
      </c>
      <c r="M127">
        <f>IF(OR(B127="",L127=0),0,B127/L127)</f>
      </c>
    </row>
    <row r="128">
      <c r="L128">
        <f>IF(B128="","",COUNTA(D128:K128))</f>
      </c>
      <c r="M128">
        <f>IF(OR(B128="",L128=0),0,B128/L128)</f>
      </c>
    </row>
    <row r="129">
      <c r="L129">
        <f>IF(B129="","",COUNTA(D129:K129))</f>
      </c>
      <c r="M129">
        <f>IF(OR(B129="",L129=0),0,B129/L129)</f>
      </c>
    </row>
    <row r="130">
      <c r="L130">
        <f>IF(B130="","",COUNTA(D130:K130))</f>
      </c>
      <c r="M130">
        <f>IF(OR(B130="",L130=0),0,B130/L130)</f>
      </c>
    </row>
    <row r="131">
      <c r="L131">
        <f>IF(B131="","",COUNTA(D131:K131))</f>
      </c>
      <c r="M131">
        <f>IF(OR(B131="",L131=0),0,B131/L131)</f>
      </c>
    </row>
    <row r="132">
      <c r="L132">
        <f>IF(B132="","",COUNTA(D132:K132))</f>
      </c>
      <c r="M132">
        <f>IF(OR(B132="",L132=0),0,B132/L132)</f>
      </c>
    </row>
    <row r="133">
      <c r="L133">
        <f>IF(B133="","",COUNTA(D133:K133))</f>
      </c>
      <c r="M133">
        <f>IF(OR(B133="",L133=0),0,B133/L133)</f>
      </c>
    </row>
    <row r="134">
      <c r="L134">
        <f>IF(B134="","",COUNTA(D134:K134))</f>
      </c>
      <c r="M134">
        <f>IF(OR(B134="",L134=0),0,B134/L134)</f>
      </c>
    </row>
    <row r="135">
      <c r="L135">
        <f>IF(B135="","",COUNTA(D135:K135))</f>
      </c>
      <c r="M135">
        <f>IF(OR(B135="",L135=0),0,B135/L135)</f>
      </c>
    </row>
    <row r="136">
      <c r="L136">
        <f>IF(B136="","",COUNTA(D136:K136))</f>
      </c>
      <c r="M136">
        <f>IF(OR(B136="",L136=0),0,B136/L136)</f>
      </c>
    </row>
    <row r="137">
      <c r="L137">
        <f>IF(B137="","",COUNTA(D137:K137))</f>
      </c>
      <c r="M137">
        <f>IF(OR(B137="",L137=0),0,B137/L137)</f>
      </c>
    </row>
    <row r="138">
      <c r="L138">
        <f>IF(B138="","",COUNTA(D138:K138))</f>
      </c>
      <c r="M138">
        <f>IF(OR(B138="",L138=0),0,B138/L138)</f>
      </c>
    </row>
    <row r="139">
      <c r="L139">
        <f>IF(B139="","",COUNTA(D139:K139))</f>
      </c>
      <c r="M139">
        <f>IF(OR(B139="",L139=0),0,B139/L139)</f>
      </c>
    </row>
    <row r="140">
      <c r="L140">
        <f>IF(B140="","",COUNTA(D140:K140))</f>
      </c>
      <c r="M140">
        <f>IF(OR(B140="",L140=0),0,B140/L140)</f>
      </c>
    </row>
    <row r="141">
      <c r="L141">
        <f>IF(B141="","",COUNTA(D141:K141))</f>
      </c>
      <c r="M141">
        <f>IF(OR(B141="",L141=0),0,B141/L141)</f>
      </c>
    </row>
    <row r="142">
      <c r="L142">
        <f>IF(B142="","",COUNTA(D142:K142))</f>
      </c>
      <c r="M142">
        <f>IF(OR(B142="",L142=0),0,B142/L142)</f>
      </c>
    </row>
    <row r="143">
      <c r="L143">
        <f>IF(B143="","",COUNTA(D143:K143))</f>
      </c>
      <c r="M143">
        <f>IF(OR(B143="",L143=0),0,B143/L143)</f>
      </c>
    </row>
    <row r="144">
      <c r="L144">
        <f>IF(B144="","",COUNTA(D144:K144))</f>
      </c>
      <c r="M144">
        <f>IF(OR(B144="",L144=0),0,B144/L144)</f>
      </c>
    </row>
    <row r="145">
      <c r="L145">
        <f>IF(B145="","",COUNTA(D145:K145))</f>
      </c>
      <c r="M145">
        <f>IF(OR(B145="",L145=0),0,B145/L145)</f>
      </c>
    </row>
    <row r="146">
      <c r="L146">
        <f>IF(B146="","",COUNTA(D146:K146))</f>
      </c>
      <c r="M146">
        <f>IF(OR(B146="",L146=0),0,B146/L146)</f>
      </c>
    </row>
    <row r="147">
      <c r="L147">
        <f>IF(B147="","",COUNTA(D147:K147))</f>
      </c>
      <c r="M147">
        <f>IF(OR(B147="",L147=0),0,B147/L147)</f>
      </c>
    </row>
    <row r="148">
      <c r="L148">
        <f>IF(B148="","",COUNTA(D148:K148))</f>
      </c>
      <c r="M148">
        <f>IF(OR(B148="",L148=0),0,B148/L148)</f>
      </c>
    </row>
    <row r="149">
      <c r="L149">
        <f>IF(B149="","",COUNTA(D149:K149))</f>
      </c>
      <c r="M149">
        <f>IF(OR(B149="",L149=0),0,B149/L149)</f>
      </c>
    </row>
    <row r="150">
      <c r="L150">
        <f>IF(B150="","",COUNTA(D150:K150))</f>
      </c>
      <c r="M150">
        <f>IF(OR(B150="",L150=0),0,B150/L150)</f>
      </c>
    </row>
    <row r="151">
      <c r="L151">
        <f>IF(B151="","",COUNTA(D151:K151))</f>
      </c>
      <c r="M151">
        <f>IF(OR(B151="",L151=0),0,B151/L151)</f>
      </c>
    </row>
    <row r="152">
      <c r="L152">
        <f>IF(B152="","",COUNTA(D152:K152))</f>
      </c>
      <c r="M152">
        <f>IF(OR(B152="",L152=0),0,B152/L152)</f>
      </c>
    </row>
    <row r="153">
      <c r="L153">
        <f>IF(B153="","",COUNTA(D153:K153))</f>
      </c>
      <c r="M153">
        <f>IF(OR(B153="",L153=0),0,B153/L153)</f>
      </c>
    </row>
    <row r="154">
      <c r="L154">
        <f>IF(B154="","",COUNTA(D154:K154))</f>
      </c>
      <c r="M154">
        <f>IF(OR(B154="",L154=0),0,B154/L154)</f>
      </c>
    </row>
    <row r="155">
      <c r="L155">
        <f>IF(B155="","",COUNTA(D155:K155))</f>
      </c>
      <c r="M155">
        <f>IF(OR(B155="",L155=0),0,B155/L155)</f>
      </c>
    </row>
    <row r="156">
      <c r="L156">
        <f>IF(B156="","",COUNTA(D156:K156))</f>
      </c>
      <c r="M156">
        <f>IF(OR(B156="",L156=0),0,B156/L156)</f>
      </c>
    </row>
    <row r="157">
      <c r="L157">
        <f>IF(B157="","",COUNTA(D157:K157))</f>
      </c>
      <c r="M157">
        <f>IF(OR(B157="",L157=0),0,B157/L157)</f>
      </c>
    </row>
    <row r="158">
      <c r="L158">
        <f>IF(B158="","",COUNTA(D158:K158))</f>
      </c>
      <c r="M158">
        <f>IF(OR(B158="",L158=0),0,B158/L158)</f>
      </c>
    </row>
    <row r="159">
      <c r="L159">
        <f>IF(B159="","",COUNTA(D159:K159))</f>
      </c>
      <c r="M159">
        <f>IF(OR(B159="",L159=0),0,B159/L159)</f>
      </c>
    </row>
    <row r="160">
      <c r="L160">
        <f>IF(B160="","",COUNTA(D160:K160))</f>
      </c>
      <c r="M160">
        <f>IF(OR(B160="",L160=0),0,B160/L160)</f>
      </c>
    </row>
    <row r="161">
      <c r="L161">
        <f>IF(B161="","",COUNTA(D161:K161))</f>
      </c>
      <c r="M161">
        <f>IF(OR(B161="",L161=0),0,B161/L161)</f>
      </c>
    </row>
    <row r="162">
      <c r="L162">
        <f>IF(B162="","",COUNTA(D162:K162))</f>
      </c>
      <c r="M162">
        <f>IF(OR(B162="",L162=0),0,B162/L162)</f>
      </c>
    </row>
    <row r="163">
      <c r="L163">
        <f>IF(B163="","",COUNTA(D163:K163))</f>
      </c>
      <c r="M163">
        <f>IF(OR(B163="",L163=0),0,B163/L163)</f>
      </c>
    </row>
    <row r="164">
      <c r="L164">
        <f>IF(B164="","",COUNTA(D164:K164))</f>
      </c>
      <c r="M164">
        <f>IF(OR(B164="",L164=0),0,B164/L164)</f>
      </c>
    </row>
    <row r="165">
      <c r="L165">
        <f>IF(B165="","",COUNTA(D165:K165))</f>
      </c>
      <c r="M165">
        <f>IF(OR(B165="",L165=0),0,B165/L165)</f>
      </c>
    </row>
    <row r="166">
      <c r="L166">
        <f>IF(B166="","",COUNTA(D166:K166))</f>
      </c>
      <c r="M166">
        <f>IF(OR(B166="",L166=0),0,B166/L166)</f>
      </c>
    </row>
    <row r="167">
      <c r="L167">
        <f>IF(B167="","",COUNTA(D167:K167))</f>
      </c>
      <c r="M167">
        <f>IF(OR(B167="",L167=0),0,B167/L167)</f>
      </c>
    </row>
    <row r="168">
      <c r="L168">
        <f>IF(B168="","",COUNTA(D168:K168))</f>
      </c>
      <c r="M168">
        <f>IF(OR(B168="",L168=0),0,B168/L168)</f>
      </c>
    </row>
    <row r="169">
      <c r="L169">
        <f>IF(B169="","",COUNTA(D169:K169))</f>
      </c>
      <c r="M169">
        <f>IF(OR(B169="",L169=0),0,B169/L169)</f>
      </c>
    </row>
    <row r="170">
      <c r="L170">
        <f>IF(B170="","",COUNTA(D170:K170))</f>
      </c>
      <c r="M170">
        <f>IF(OR(B170="",L170=0),0,B170/L170)</f>
      </c>
    </row>
    <row r="171">
      <c r="L171">
        <f>IF(B171="","",COUNTA(D171:K171))</f>
      </c>
      <c r="M171">
        <f>IF(OR(B171="",L171=0),0,B171/L171)</f>
      </c>
    </row>
    <row r="172">
      <c r="L172">
        <f>IF(B172="","",COUNTA(D172:K172))</f>
      </c>
      <c r="M172">
        <f>IF(OR(B172="",L172=0),0,B172/L172)</f>
      </c>
    </row>
    <row r="173">
      <c r="L173">
        <f>IF(B173="","",COUNTA(D173:K173))</f>
      </c>
      <c r="M173">
        <f>IF(OR(B173="",L173=0),0,B173/L173)</f>
      </c>
    </row>
    <row r="174">
      <c r="L174">
        <f>IF(B174="","",COUNTA(D174:K174))</f>
      </c>
      <c r="M174">
        <f>IF(OR(B174="",L174=0),0,B174/L174)</f>
      </c>
    </row>
    <row r="175">
      <c r="L175">
        <f>IF(B175="","",COUNTA(D175:K175))</f>
      </c>
      <c r="M175">
        <f>IF(OR(B175="",L175=0),0,B175/L175)</f>
      </c>
    </row>
    <row r="176">
      <c r="L176">
        <f>IF(B176="","",COUNTA(D176:K176))</f>
      </c>
      <c r="M176">
        <f>IF(OR(B176="",L176=0),0,B176/L176)</f>
      </c>
    </row>
    <row r="177">
      <c r="L177">
        <f>IF(B177="","",COUNTA(D177:K177))</f>
      </c>
      <c r="M177">
        <f>IF(OR(B177="",L177=0),0,B177/L177)</f>
      </c>
    </row>
    <row r="178">
      <c r="L178">
        <f>IF(B178="","",COUNTA(D178:K178))</f>
      </c>
      <c r="M178">
        <f>IF(OR(B178="",L178=0),0,B178/L178)</f>
      </c>
    </row>
    <row r="179">
      <c r="L179">
        <f>IF(B179="","",COUNTA(D179:K179))</f>
      </c>
      <c r="M179">
        <f>IF(OR(B179="",L179=0),0,B179/L179)</f>
      </c>
    </row>
    <row r="180">
      <c r="L180">
        <f>IF(B180="","",COUNTA(D180:K180))</f>
      </c>
      <c r="M180">
        <f>IF(OR(B180="",L180=0),0,B180/L180)</f>
      </c>
    </row>
    <row r="181">
      <c r="L181">
        <f>IF(B181="","",COUNTA(D181:K181))</f>
      </c>
      <c r="M181">
        <f>IF(OR(B181="",L181=0),0,B181/L181)</f>
      </c>
    </row>
    <row r="182">
      <c r="L182">
        <f>IF(B182="","",COUNTA(D182:K182))</f>
      </c>
      <c r="M182">
        <f>IF(OR(B182="",L182=0),0,B182/L182)</f>
      </c>
    </row>
    <row r="183">
      <c r="L183">
        <f>IF(B183="","",COUNTA(D183:K183))</f>
      </c>
      <c r="M183">
        <f>IF(OR(B183="",L183=0),0,B183/L183)</f>
      </c>
    </row>
    <row r="184">
      <c r="L184">
        <f>IF(B184="","",COUNTA(D184:K184))</f>
      </c>
      <c r="M184">
        <f>IF(OR(B184="",L184=0),0,B184/L184)</f>
      </c>
    </row>
    <row r="185">
      <c r="L185">
        <f>IF(B185="","",COUNTA(D185:K185))</f>
      </c>
      <c r="M185">
        <f>IF(OR(B185="",L185=0),0,B185/L185)</f>
      </c>
    </row>
    <row r="186">
      <c r="L186">
        <f>IF(B186="","",COUNTA(D186:K186))</f>
      </c>
      <c r="M186">
        <f>IF(OR(B186="",L186=0),0,B186/L186)</f>
      </c>
    </row>
    <row r="187">
      <c r="L187">
        <f>IF(B187="","",COUNTA(D187:K187))</f>
      </c>
      <c r="M187">
        <f>IF(OR(B187="",L187=0),0,B187/L187)</f>
      </c>
    </row>
    <row r="188">
      <c r="L188">
        <f>IF(B188="","",COUNTA(D188:K188))</f>
      </c>
      <c r="M188">
        <f>IF(OR(B188="",L188=0),0,B188/L188)</f>
      </c>
    </row>
    <row r="189">
      <c r="L189">
        <f>IF(B189="","",COUNTA(D189:K189))</f>
      </c>
      <c r="M189">
        <f>IF(OR(B189="",L189=0),0,B189/L189)</f>
      </c>
    </row>
    <row r="190">
      <c r="L190">
        <f>IF(B190="","",COUNTA(D190:K190))</f>
      </c>
      <c r="M190">
        <f>IF(OR(B190="",L190=0),0,B190/L190)</f>
      </c>
    </row>
    <row r="191">
      <c r="L191">
        <f>IF(B191="","",COUNTA(D191:K191))</f>
      </c>
      <c r="M191">
        <f>IF(OR(B191="",L191=0),0,B191/L191)</f>
      </c>
    </row>
    <row r="192">
      <c r="L192">
        <f>IF(B192="","",COUNTA(D192:K192))</f>
      </c>
      <c r="M192">
        <f>IF(OR(B192="",L192=0),0,B192/L192)</f>
      </c>
    </row>
    <row r="193">
      <c r="L193">
        <f>IF(B193="","",COUNTA(D193:K193))</f>
      </c>
      <c r="M193">
        <f>IF(OR(B193="",L193=0),0,B193/L193)</f>
      </c>
    </row>
    <row r="194">
      <c r="L194">
        <f>IF(B194="","",COUNTA(D194:K194))</f>
      </c>
      <c r="M194">
        <f>IF(OR(B194="",L194=0),0,B194/L194)</f>
      </c>
    </row>
    <row r="195">
      <c r="L195">
        <f>IF(B195="","",COUNTA(D195:K195))</f>
      </c>
      <c r="M195">
        <f>IF(OR(B195="",L195=0),0,B195/L195)</f>
      </c>
    </row>
    <row r="196">
      <c r="L196">
        <f>IF(B196="","",COUNTA(D196:K196))</f>
      </c>
      <c r="M196">
        <f>IF(OR(B196="",L196=0),0,B196/L196)</f>
      </c>
    </row>
    <row r="197">
      <c r="L197">
        <f>IF(B197="","",COUNTA(D197:K197))</f>
      </c>
      <c r="M197">
        <f>IF(OR(B197="",L197=0),0,B197/L197)</f>
      </c>
    </row>
    <row r="198">
      <c r="L198">
        <f>IF(B198="","",COUNTA(D198:K198))</f>
      </c>
      <c r="M198">
        <f>IF(OR(B198="",L198=0),0,B198/L198)</f>
      </c>
    </row>
    <row r="199">
      <c r="L199">
        <f>IF(B199="","",COUNTA(D199:K199))</f>
      </c>
      <c r="M199">
        <f>IF(OR(B199="",L199=0),0,B199/L199)</f>
      </c>
    </row>
    <row r="200">
      <c r="L200">
        <f>IF(B200="","",COUNTA(D200:K200))</f>
      </c>
      <c r="M200">
        <f>IF(OR(B200="",L200=0),0,B200/L200)</f>
      </c>
    </row>
    <row r="201">
      <c r="L201">
        <f>IF(B201="","",COUNTA(D201:K201))</f>
      </c>
      <c r="M201">
        <f>IF(OR(B201="",L201=0),0,B201/L201)</f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70" customWidth="1"/>
  </cols>
  <sheetData>
    <row r="1">
      <c r="A1" t="inlineStr" s="1">
        <is>
          <t xml:space="preserve">De</t>
        </is>
      </c>
      <c r="B1" t="inlineStr" s="1">
        <is>
          <t xml:space="preserve">Para</t>
        </is>
      </c>
      <c r="C1" t="inlineStr" s="1">
        <is>
          <t xml:space="preserve">Importe</t>
        </is>
      </c>
      <c r="D1" t="inlineStr" s="1">
        <is>
          <t xml:space="preserve">Dinero que uno ya le dio a otro durante el viaje (un adelanto, un bizum).</t>
        </is>
      </c>
    </row>
    <row r="2">
      <c r="A2" t="inlineStr">
        <is>
          <t xml:space="preserve">Elena</t>
        </is>
      </c>
      <c r="B2" t="inlineStr">
        <is>
          <t xml:space="preserve">Ana</t>
        </is>
      </c>
      <c r="C2">
        <v>50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4" customWidth="1"/>
    <col min="3" max="3" width="12" customWidth="1"/>
    <col min="4" max="4" width="70" customWidth="1"/>
  </cols>
  <sheetData>
    <row r="1">
      <c r="A1" t="inlineStr" s="1">
        <is>
          <t xml:space="preserve">De</t>
        </is>
      </c>
      <c r="B1" t="inlineStr" s="1">
        <is>
          <t xml:space="preserve">Para</t>
        </is>
      </c>
      <c r="C1" t="inlineStr" s="1">
        <is>
          <t xml:space="preserve">Importe</t>
        </is>
      </c>
      <c r="D1" t="inlineStr" s="1">
        <is>
          <t xml:space="preserve">Las transferencias que te propone la IA (o tu propuesta): quién paga, a quién y cuánto.</t>
        </is>
      </c>
    </row>
    <row r="2">
      <c r="A2" t="inlineStr">
        <is>
          <t xml:space="preserve">David</t>
        </is>
      </c>
      <c r="B2" t="inlineStr">
        <is>
          <t xml:space="preserve">Bruno</t>
        </is>
      </c>
      <c r="C2">
        <v>118.47</v>
      </c>
    </row>
    <row r="3">
      <c r="A3" t="inlineStr">
        <is>
          <t xml:space="preserve">Carla</t>
        </is>
      </c>
      <c r="B3" t="inlineStr">
        <is>
          <t xml:space="preserve">Bruno</t>
        </is>
      </c>
      <c r="C3">
        <v>8.56</v>
      </c>
    </row>
    <row r="4">
      <c r="A4" t="inlineStr">
        <is>
          <t xml:space="preserve">Carla</t>
        </is>
      </c>
      <c r="B4" t="inlineStr">
        <is>
          <t xml:space="preserve">Ana</t>
        </is>
      </c>
      <c r="C4">
        <v>93.41</v>
      </c>
    </row>
    <row r="5">
      <c r="A5" t="inlineStr">
        <is>
          <t xml:space="preserve">Elena</t>
        </is>
      </c>
      <c r="B5" t="inlineStr">
        <is>
          <t xml:space="preserve">Ana</t>
        </is>
      </c>
      <c r="C5">
        <v>31.57</v>
      </c>
    </row>
  </sheetData>
</worksheet>
</file>