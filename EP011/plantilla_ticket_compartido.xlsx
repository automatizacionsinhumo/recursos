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Líneas" sheetId="2" r:id="rId2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8" customWidth="1"/>
    <col min="2" max="2" width="60" customWidth="1"/>
  </cols>
  <sheetData>
    <row r="1">
      <c r="A1" t="inlineStr" s="1">
        <is>
          <t xml:space="preserve">Repartir el ticket del súper entre dos y comprobar a la IA</t>
        </is>
      </c>
    </row>
    <row r="2">
      <c r="A2" t="inlineStr">
        <is>
          <t xml:space="preserve">Cómo se usa: en «Líneas», una fila por línea del ticket con su importe (los descuentos, el 2x1 y el cupón, en negativo) y de quién es: «mío», «suyo» o «a medias». Aquí abajo, escribe el total del ticket y la cifra que te da la IA. Supone que pagaste tú el ticket entero.</t>
        </is>
      </c>
    </row>
    <row r="3"/>
    <row r="4">
      <c r="A4" t="inlineStr" s="1">
        <is>
          <t xml:space="preserve">Concepto</t>
        </is>
      </c>
      <c r="B4" t="inlineStr" s="1">
        <is>
          <t xml:space="preserve">Importe</t>
        </is>
      </c>
    </row>
    <row r="5">
      <c r="A5" t="inlineStr">
        <is>
          <t xml:space="preserve">Lo mío</t>
        </is>
      </c>
      <c r="B5">
        <f>ROUND(SUMIF('Líneas'!C$2:C$101,"mío",'Líneas'!B$2:B$101),2)</f>
      </c>
    </row>
    <row r="6">
      <c r="A6" t="inlineStr">
        <is>
          <t xml:space="preserve">Lo suyo</t>
        </is>
      </c>
      <c r="B6">
        <f>ROUND(SUMIF('Líneas'!C$2:C$101,"suyo",'Líneas'!B$2:B$101),2)</f>
      </c>
    </row>
    <row r="7">
      <c r="A7" t="inlineStr">
        <is>
          <t xml:space="preserve">A medias (con sus descuentos)</t>
        </is>
      </c>
      <c r="B7">
        <f>ROUND(SUMIF('Líneas'!C$2:C$101,"a medias",'Líneas'!B$2:B$101),2)</f>
      </c>
    </row>
    <row r="8">
      <c r="A8" t="inlineStr">
        <is>
          <t xml:space="preserve">Suma de todas las líneas</t>
        </is>
      </c>
      <c r="B8">
        <f>ROUND(SUM('Líneas'!B$2:B$101),2)</f>
      </c>
    </row>
    <row r="9">
      <c r="A9" t="inlineStr">
        <is>
          <t xml:space="preserve">Total del ticket (escríbelo)</t>
        </is>
      </c>
    </row>
    <row r="10">
      <c r="A10" t="inlineStr">
        <is>
          <t xml:space="preserve">Líneas sin «De quién» válido</t>
        </is>
      </c>
      <c r="B10">
        <f>SUMPRODUCT(('Líneas'!B$2:B$101&lt;&gt;"")*('Líneas'!C$2:C$101&lt;&gt;"mío")*('Líneas'!C$2:C$101&lt;&gt;"suyo")*('Líneas'!C$2:C$101&lt;&gt;"a medias"))</f>
      </c>
    </row>
    <row r="11">
      <c r="A11" t="inlineStr" s="1">
        <is>
          <t xml:space="preserve">¿Cuadra con el ticket?</t>
        </is>
      </c>
      <c r="B11" t="str" s="1">
        <f>IF(B9="","Escribe el total del ticket",IF(AND(ABS(B8-B9)&lt;0.005,B10=0),"CUADRA","NO CUADRA: falta, sobra o está mal marcada alguna línea"))</f>
      </c>
    </row>
    <row r="12"/>
    <row r="13">
      <c r="A13" t="inlineStr" s="1">
        <is>
          <t xml:space="preserve">Te debe (lo suyo + la mitad de lo de a medias)</t>
        </is>
      </c>
      <c r="B13" s="1">
        <f>ROUND(B6+B7/2,2)</f>
      </c>
    </row>
    <row r="14">
      <c r="A14" t="inlineStr">
        <is>
          <t xml:space="preserve">Tu parte (lo tuyo + la mitad de lo de a medias)</t>
        </is>
      </c>
      <c r="B14">
        <f>ROUND(B5+B7/2,2)</f>
      </c>
    </row>
    <row r="15">
      <c r="A15" t="inlineStr">
        <is>
          <t xml:space="preserve">Lo que dice la IA (escríbelo)</t>
        </is>
      </c>
    </row>
    <row r="16">
      <c r="A16" t="inlineStr" s="1">
        <is>
          <t xml:space="preserve">¿Coincide con la IA?</t>
        </is>
      </c>
      <c r="B16" t="str" s="1">
        <f>IF(B15="","Escribe la cifra de la IA",IF(ABS(B15-B13)&lt;0.005,"COINCIDE","NO COINCIDE: revisa el 2x1, el cupón y lo que es de cada uno"))</f>
      </c>
    </row>
    <row r="17"/>
    <row r="18">
      <c r="A18" t="inlineStr">
        <is>
          <t xml:space="preserve">Ojo</t>
        </is>
      </c>
      <c r="B18" t="inlineStr">
        <is>
          <t xml:space="preserve">«Entregado» y «Cambio» no son líneas de la compra: no los pongas. El desglose de IVA tampoco se suma.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12" customWidth="1"/>
    <col min="3" max="3" width="34" customWidth="1"/>
  </cols>
  <sheetData>
    <row r="1">
      <c r="A1" t="inlineStr" s="1">
        <is>
          <t xml:space="preserve">Línea del ticket</t>
        </is>
      </c>
      <c r="B1" t="inlineStr" s="1">
        <is>
          <t xml:space="preserve">Importe</t>
        </is>
      </c>
      <c r="C1" t="inlineStr" s="1">
        <is>
          <t xml:space="preserve">De quién (mío / suyo / a medias)</t>
        </is>
      </c>
    </row>
  </sheetData>
</worksheet>
</file>